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sl\Desktop\Code Python\data python cusor\export\excel\"/>
    </mc:Choice>
  </mc:AlternateContent>
  <xr:revisionPtr revIDLastSave="0" documentId="13_ncr:1_{816B3BCB-5385-4116-9DA0-A847066B1FE4}" xr6:coauthVersionLast="47" xr6:coauthVersionMax="47" xr10:uidLastSave="{00000000-0000-0000-0000-000000000000}"/>
  <bookViews>
    <workbookView xWindow="0" yWindow="360" windowWidth="29040" windowHeight="15720" activeTab="1" xr2:uid="{00000000-000D-0000-FFFF-FFFF00000000}"/>
  </bookViews>
  <sheets>
    <sheet name="Tong quan" sheetId="1" r:id="rId1"/>
    <sheet name="Thong so data" sheetId="2" r:id="rId2"/>
    <sheet name="Loi va nhieu" sheetId="3" r:id="rId3"/>
    <sheet name="Giai thich" sheetId="4" r:id="rId4"/>
  </sheets>
  <definedNames>
    <definedName name="_xlnm._FilterDatabase" localSheetId="3" hidden="1">'Giai thich'!$A$1:$B$7</definedName>
    <definedName name="_xlnm._FilterDatabase" localSheetId="2" hidden="1">'Loi va nhieu'!$A$1:$J$16</definedName>
    <definedName name="_xlnm._FilterDatabase" localSheetId="1" hidden="1">'Thong so data'!$A$1:$S$16</definedName>
    <definedName name="_xlnm._FilterDatabase" localSheetId="0" hidden="1">'Tong quan'!$A$1:$M$27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<sst xmlns="http://schemas.openxmlformats.org/spreadsheetml/2006/main" count="268" uniqueCount="137">
  <si>
    <t>BANG THONG KE THONG SO DATA HAM - BAN KHONG LOI FONT</t>
  </si>
  <si>
    <t>Chu y: workbook dung chu khong dau + font Arial de tranh loi font tren Excel/Windows.</t>
  </si>
  <si>
    <t>Nguon: tunnel_project/data</t>
  </si>
  <si>
    <t>Chi so</t>
  </si>
  <si>
    <t>Gia tri</t>
  </si>
  <si>
    <t>So dataset/case</t>
  </si>
  <si>
    <t>Tong chieu dai khai bao (m)</t>
  </si>
  <si>
    <t>So data co nhieu</t>
  </si>
  <si>
    <t>So data co loi/deformation</t>
  </si>
  <si>
    <t>So data co do cong</t>
  </si>
  <si>
    <t>Dataset</t>
  </si>
  <si>
    <t>Chieu dai ham (m)</t>
  </si>
  <si>
    <t>Dang ham</t>
  </si>
  <si>
    <t>Ban kinh ham (m)</t>
  </si>
  <si>
    <t>Rong (m)</t>
  </si>
  <si>
    <t>Cao (m)</t>
  </si>
  <si>
    <t>Ban kinh cong (m)</t>
  </si>
  <si>
    <t>Do cong 1/m</t>
  </si>
  <si>
    <t>Doc/grade</t>
  </si>
  <si>
    <t>Do nhieu</t>
  </si>
  <si>
    <t>Cach tao nhieu</t>
  </si>
  <si>
    <t>Loi da tao</t>
  </si>
  <si>
    <t>Vi tri canh bao (m)</t>
  </si>
  <si>
    <t>auto_align_short</t>
  </si>
  <si>
    <t>outlier blobs, scattered outliers, cable points</t>
  </si>
  <si>
    <t>blob_count=3; blob_pts=135; scattered_pts=90; cable_pts=180; total=405; Tn offset yaw=4.0 deg; shift=[0.55, -0.35, 0.18]</t>
  </si>
  <si>
    <t>blender_sample_like</t>
  </si>
  <si>
    <t>random outliers, cable clutter, occlusion/missing arc</t>
  </si>
  <si>
    <t>random points outside lining; cable-like points near crown/side; remove arc/band of tunnel surface</t>
  </si>
  <si>
    <t>crown_settlement_mm=-70.0, sidewall_convergence_per_side_mm=-45.0</t>
  </si>
  <si>
    <t>28.0 to 48.0</t>
  </si>
  <si>
    <t>version_01_subtle_deformation</t>
  </si>
  <si>
    <t>crown_settlement_mm=-18.0, sidewall_convergence_per_side_mm=-12.0</t>
  </si>
  <si>
    <t>24.0 to 40.0</t>
  </si>
  <si>
    <t>version_02_complex_warning</t>
  </si>
  <si>
    <t>crown_settlement_mm=-90.0, sidewall_convergence_per_side_mm=-65.0, clearance_intrusion=True</t>
  </si>
  <si>
    <t>20.0 to 34.0</t>
  </si>
  <si>
    <t>box_four_spots</t>
  </si>
  <si>
    <t>box</t>
  </si>
  <si>
    <t>ch=-30.0: crown settlement (crown_mm=-45.0); ch=-10.0: sidewall convergence (per_side_mm=-35.0); ch=14.0: noise (cable + outliers) (cable_pts=96, outlier_pts=24); ch=34.0: clearance intrusion (intruder_pts=20)</t>
  </si>
  <si>
    <t>box_icp_shift</t>
  </si>
  <si>
    <t>rigid shift/outliers</t>
  </si>
  <si>
    <t>yaw=9.0 deg; shift=[1.8, 7.5, 0.55]; extra_outliers=120</t>
  </si>
  <si>
    <t>demo_box</t>
  </si>
  <si>
    <t>box (straight)</t>
  </si>
  <si>
    <t>ch=25: sidewall convergence (mm_per_side=-25)</t>
  </si>
  <si>
    <t>demo_circle</t>
  </si>
  <si>
    <t>circle (gently curved)</t>
  </si>
  <si>
    <t>ch=18: crown settlement (mm=-28); ch=38: sidewall convergence (mm_per_side=-22); ch=50: clearance intrusion (inward dent) (depth_m=0.5); ch=30: noise: crown cable</t>
  </si>
  <si>
    <t>full_test</t>
  </si>
  <si>
    <t>curved (horizontal arc + grade)</t>
  </si>
  <si>
    <t>ch=200: crown settlement (crown_mm=-60); ch=450: sidewall convergence (per_side_mm=-50); ch=700: noise (cable + outlier blob) (cable_pts=140, outlier_pts=30); ch=900: combined crown+convergence (crown_mm=-45, per_side_mm=-45)</t>
  </si>
  <si>
    <t>case_01_clean_reference</t>
  </si>
  <si>
    <t>circular tunnel</t>
  </si>
  <si>
    <t>approx 4.0 from data</t>
  </si>
  <si>
    <t>case_02_local_deformation</t>
  </si>
  <si>
    <t>crown_mm=-80.0, sidewall_mm=-50.0, invert_mm=15.0</t>
  </si>
  <si>
    <t>-6.0 to 6.0</t>
  </si>
  <si>
    <t>case_03_noise_and_cables</t>
  </si>
  <si>
    <t>crown_mm=-25.0, sidewall_mm=-20.0, invert_mm=5.0</t>
  </si>
  <si>
    <t>case_04_clearance_intrusion</t>
  </si>
  <si>
    <t>case_05_curved_centerline</t>
  </si>
  <si>
    <t>curved centerline</t>
  </si>
  <si>
    <t>not specified</t>
  </si>
  <si>
    <t>from generated curved centerline</t>
  </si>
  <si>
    <t>case_06_occlusion_sparse</t>
  </si>
  <si>
    <t>occlusion/missing arc</t>
  </si>
  <si>
    <t>remove arc/band of tunnel surface; missing arc deg 205 to 285</t>
  </si>
  <si>
    <t>dataset</t>
  </si>
  <si>
    <t>source</t>
  </si>
  <si>
    <t>purpose</t>
  </si>
  <si>
    <t>shape</t>
  </si>
  <si>
    <t>length_m</t>
  </si>
  <si>
    <t>measured_length_m</t>
  </si>
  <si>
    <t>axis</t>
  </si>
  <si>
    <t>radius_m</t>
  </si>
  <si>
    <t>width_m</t>
  </si>
  <si>
    <t>height_m</t>
  </si>
  <si>
    <t>curve_radius_m</t>
  </si>
  <si>
    <t>curvature_1_per_m</t>
  </si>
  <si>
    <t>grade</t>
  </si>
  <si>
    <t>ring_spacing_m</t>
  </si>
  <si>
    <t>t0_points</t>
  </si>
  <si>
    <t>tn_points</t>
  </si>
  <si>
    <t>expected_warning</t>
  </si>
  <si>
    <t>warning_level</t>
  </si>
  <si>
    <t>warning_chainage_m</t>
  </si>
  <si>
    <t>auto_align_short/manifest.json</t>
  </si>
  <si>
    <t>Short and easy-to-see pair for testing auto align and denoise.</t>
  </si>
  <si>
    <t>Y</t>
  </si>
  <si>
    <t>blender_sample_like/manifest.json</t>
  </si>
  <si>
    <t>OS1/OS6-style field sample surrogate for load, denoise, centerline, section, and Step 6 testing.</t>
  </si>
  <si>
    <t>Yes</t>
  </si>
  <si>
    <t>blender_step6_t1_tn/version_01_subtle_deformation/manifest.json</t>
  </si>
  <si>
    <t>Small mm-level deformation for M3C2/C2C sensitivity and 2D Visual scale.</t>
  </si>
  <si>
    <t>Y / chainage</t>
  </si>
  <si>
    <t>CAUTION</t>
  </si>
  <si>
    <t>blender_step6_t1_tn/version_02_complex_warning/manifest.json</t>
  </si>
  <si>
    <t>Local critical deformation with occlusion, clutter, outliers, and clearance intrusion.</t>
  </si>
  <si>
    <t>CRITICAL</t>
  </si>
  <si>
    <t>box_four_spots/manifest.json</t>
  </si>
  <si>
    <t>Short centered box-tunnel dataset with 4 evenly spaced defect spots for full-feature testing.</t>
  </si>
  <si>
    <t>box_icp_shift/manifest.json</t>
  </si>
  <si>
    <t>Short centered box tunnel with a rigidly shifted Tn for ICP registration tests.</t>
  </si>
  <si>
    <t>demo_box/manifest.json</t>
  </si>
  <si>
    <t>demo_circle/manifest.json</t>
  </si>
  <si>
    <t>full_test/manifest.json</t>
  </si>
  <si>
    <t>Curved ~1 km tunnel, 4 clear defect spots  self-test everything.</t>
  </si>
  <si>
    <t>blender_test_suite/case_01_clean_reference/ground_truth.json</t>
  </si>
  <si>
    <t>Clean circular tunnel for load, centerline, section fitting, and no-warning baseline.</t>
  </si>
  <si>
    <t>No</t>
  </si>
  <si>
    <t>blender_test_suite/case_02_local_deformation/ground_truth.json</t>
  </si>
  <si>
    <t>Local T0/Tn deformation: crown settlement, sidewall convergence, and invert heave around chainage 0 m.</t>
  </si>
  <si>
    <t>blender_test_suite/case_03_noise_and_cables/ground_truth.json</t>
  </si>
  <si>
    <t>Denoising stress test with random outliers, interior false clusters, and a crown cable.</t>
  </si>
  <si>
    <t>blender_test_suite/case_04_clearance_intrusion/ground_truth.json</t>
  </si>
  <si>
    <t>Clearance/headroom test with a known intruding duct inside a 2.2 m gauge.</t>
  </si>
  <si>
    <t>blender_test_suite/case_05_curved_centerline/ground_truth.json</t>
  </si>
  <si>
    <t>Curved and slightly graded tunnel for centerline, section frames, registration, and chainage ordering.</t>
  </si>
  <si>
    <t>blender_test_suite/case_06_occlusion_sparse/ground_truth.json</t>
  </si>
  <si>
    <t>Sparse/occluded tunnel arc to test robust section fitting and UI section display.</t>
  </si>
  <si>
    <t>noise_type</t>
  </si>
  <si>
    <t>noise_method</t>
  </si>
  <si>
    <t>noise_points_label2</t>
  </si>
  <si>
    <t>cable_points_label3</t>
  </si>
  <si>
    <t>hazard_points_label4</t>
  </si>
  <si>
    <t>target_points_label9</t>
  </si>
  <si>
    <t>created_defects</t>
  </si>
  <si>
    <t>Cot</t>
  </si>
  <si>
    <t>Y nghia</t>
  </si>
  <si>
    <t>Lay tu manifest neu co; neu thieu thi do theo truc dai nhat cua point cloud.</t>
  </si>
  <si>
    <t>Loai nhieu duoc tao: outlier, cable clutter, occlusion, rigid shift, scanner bias...</t>
  </si>
  <si>
    <t>Thong so/cach sinh nhieu doc tu manifest/ground_truth, vi du blob, scattered, cable, missing arc.</t>
  </si>
  <si>
    <t>Cac deformation/hazard synthetic: crown settlement, sidewall convergence, invert heave, clearance intrusion...</t>
  </si>
  <si>
    <t>Neu co ban kinh cong R thi do cong = 1/R; ham thang ghi 0; neu manifest khong neu ro thi de chu thich.</t>
  </si>
  <si>
    <t>Khong dau</t>
  </si>
  <si>
    <t>Toan bo tieu de/noi dung chinh dung khong dau va font Arial de tranh loi font.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</si>
</sst>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vi-VN"/>
              <a:t>Chieu dai ham theo dataset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'Tong quan'!$B$12</c:f>
              <c:strCache>
                <c:ptCount val="1"/>
                <c:pt idx="0">
                  <c:v>Chieu dai ham (m)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'Tong quan'!$A$13:$A$27</c:f>
              <c:strCache>
                <c:ptCount val="15"/>
                <c:pt idx="0">
                  <c:v>auto_align_short</c:v>
                </c:pt>
                <c:pt idx="1">
                  <c:v>blender_sample_like</c:v>
                </c:pt>
                <c:pt idx="2">
                  <c:v>version_01_subtle_deformation</c:v>
                </c:pt>
                <c:pt idx="3">
                  <c:v>version_02_complex_warning</c:v>
                </c:pt>
                <c:pt idx="4">
                  <c:v>box_four_spots</c:v>
                </c:pt>
                <c:pt idx="5">
                  <c:v>box_icp_shift</c:v>
                </c:pt>
                <c:pt idx="6">
                  <c:v>demo_box</c:v>
                </c:pt>
                <c:pt idx="7">
                  <c:v>demo_circle</c:v>
                </c:pt>
                <c:pt idx="8">
                  <c:v>full_test</c:v>
                </c:pt>
                <c:pt idx="9">
                  <c:v>case_01_clean_reference</c:v>
                </c:pt>
                <c:pt idx="10">
                  <c:v>case_02_local_deformation</c:v>
                </c:pt>
                <c:pt idx="11">
                  <c:v>case_03_noise_and_cables</c:v>
                </c:pt>
                <c:pt idx="12">
                  <c:v>case_04_clearance_intrusion</c:v>
                </c:pt>
                <c:pt idx="13">
                  <c:v>case_05_curved_centerline</c:v>
                </c:pt>
                <c:pt idx="14">
                  <c:v>case_06_occlusion_sparse</c:v>
                </c:pt>
              </c:strCache>
            </c:strRef>
          </c:cat>
          <c:val>
            <c:numRef>
              <c:f>'Tong quan'!$B$13:$B$27</c:f>
              <c:numCache>
                <c:formatCode>General</c:formatCode>
                <c:ptCount val="15"/>
                <c:pt idx="0">
                  <c:v>36</c:v>
                </c:pt>
                <c:pt idx="1">
                  <c:v>72.048019999999951</c:v>
                </c:pt>
                <c:pt idx="2">
                  <c:v>64</c:v>
                </c:pt>
                <c:pt idx="3">
                  <c:v>64</c:v>
                </c:pt>
                <c:pt idx="4">
                  <c:v>120</c:v>
                </c:pt>
                <c:pt idx="5">
                  <c:v>120</c:v>
                </c:pt>
                <c:pt idx="6">
                  <c:v>50</c:v>
                </c:pt>
                <c:pt idx="7">
                  <c:v>60</c:v>
                </c:pt>
                <c:pt idx="8">
                  <c:v>1000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3-432B-8609-6B4849088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vi-VN"/>
                  <a:t>dataset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vi-VN"/>
                  <a:t>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4</xdr:row>
      <xdr:rowOff>0</xdr:rowOff>
    </xdr:from>
    <xdr:ext cx="64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workbookViewId="0">
      <pane ySplit="12" topLeftCell="A14" activePane="bottomLeft" state="frozen"/>
      <selection pane="bottomLeft" activeCell="G17" sqref="G17"/>
    </sheetView>
  </sheetViews>
  <sheetFormatPr defaultRowHeight="14.25" x14ac:dyDescent="0.2"/>
  <cols>
    <col min="1" max="1" width="55" customWidth="1"/>
    <col min="2" max="2" width="19" customWidth="1"/>
    <col min="3" max="3" width="33" customWidth="1"/>
    <col min="4" max="4" width="22" customWidth="1"/>
    <col min="5" max="6" width="11" customWidth="1"/>
    <col min="7" max="7" width="19" customWidth="1"/>
    <col min="8" max="8" width="34" customWidth="1"/>
    <col min="9" max="9" width="11" customWidth="1"/>
    <col min="10" max="12" width="55" customWidth="1"/>
    <col min="13" max="13" width="21" customWidth="1"/>
  </cols>
  <sheetData>
    <row r="1" spans="1:13" ht="24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0" customHeight="1" x14ac:dyDescent="0.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30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30" customHeight="1" x14ac:dyDescent="0.2">
      <c r="A5" s="1" t="s">
        <v>3</v>
      </c>
      <c r="B5" s="1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30" customHeight="1" x14ac:dyDescent="0.2">
      <c r="A6" s="2" t="s">
        <v>5</v>
      </c>
      <c r="B6" s="2">
        <v>15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0" customHeight="1" x14ac:dyDescent="0.2">
      <c r="A7" s="2" t="s">
        <v>6</v>
      </c>
      <c r="B7" s="2">
        <v>1874.04802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0" customHeight="1" x14ac:dyDescent="0.2">
      <c r="A8" s="2" t="s">
        <v>7</v>
      </c>
      <c r="B8" s="2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30" customHeight="1" x14ac:dyDescent="0.2">
      <c r="A9" s="2" t="s">
        <v>8</v>
      </c>
      <c r="B9" s="2">
        <v>11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0" customHeight="1" x14ac:dyDescent="0.2">
      <c r="A10" s="2" t="s">
        <v>9</v>
      </c>
      <c r="B10" s="2">
        <v>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0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customHeight="1" x14ac:dyDescent="0.2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16</v>
      </c>
      <c r="H12" s="1" t="s">
        <v>17</v>
      </c>
      <c r="I12" s="1" t="s">
        <v>18</v>
      </c>
      <c r="J12" s="1" t="s">
        <v>19</v>
      </c>
      <c r="K12" s="1" t="s">
        <v>20</v>
      </c>
      <c r="L12" s="1" t="s">
        <v>21</v>
      </c>
      <c r="M12" s="1" t="s">
        <v>22</v>
      </c>
    </row>
    <row r="13" spans="1:13" ht="30" customHeight="1" x14ac:dyDescent="0.2">
      <c r="A13" s="2" t="s">
        <v>23</v>
      </c>
      <c r="B13" s="2">
        <v>36</v>
      </c>
      <c r="C13" s="2"/>
      <c r="D13" s="2">
        <v>3</v>
      </c>
      <c r="E13" s="2"/>
      <c r="F13" s="2"/>
      <c r="G13" s="2"/>
      <c r="H13" s="2"/>
      <c r="I13" s="2"/>
      <c r="J13" s="2" t="s">
        <v>24</v>
      </c>
      <c r="K13" s="2" t="s">
        <v>25</v>
      </c>
      <c r="L13" s="2"/>
      <c r="M13" s="2"/>
    </row>
    <row r="14" spans="1:13" ht="30" customHeight="1" x14ac:dyDescent="0.2">
      <c r="A14" s="2" t="s">
        <v>26</v>
      </c>
      <c r="B14" s="2">
        <v>72.048019999999951</v>
      </c>
      <c r="C14" s="2"/>
      <c r="D14" s="2"/>
      <c r="E14" s="2"/>
      <c r="F14" s="2"/>
      <c r="G14" s="2"/>
      <c r="H14" s="2"/>
      <c r="I14" s="2"/>
      <c r="J14" s="2" t="s">
        <v>27</v>
      </c>
      <c r="K14" s="2" t="s">
        <v>28</v>
      </c>
      <c r="L14" s="2" t="s">
        <v>29</v>
      </c>
      <c r="M14" s="2" t="s">
        <v>30</v>
      </c>
    </row>
    <row r="15" spans="1:13" ht="30" customHeight="1" x14ac:dyDescent="0.2">
      <c r="A15" s="2" t="s">
        <v>31</v>
      </c>
      <c r="B15" s="2">
        <v>64</v>
      </c>
      <c r="C15" s="2"/>
      <c r="D15" s="2">
        <v>3.2</v>
      </c>
      <c r="E15" s="2"/>
      <c r="F15" s="2"/>
      <c r="G15" s="2"/>
      <c r="H15" s="2"/>
      <c r="I15" s="2"/>
      <c r="J15" s="2"/>
      <c r="K15" s="2"/>
      <c r="L15" s="2" t="s">
        <v>32</v>
      </c>
      <c r="M15" s="2" t="s">
        <v>33</v>
      </c>
    </row>
    <row r="16" spans="1:13" ht="30" customHeight="1" x14ac:dyDescent="0.2">
      <c r="A16" s="2" t="s">
        <v>34</v>
      </c>
      <c r="B16" s="2">
        <v>64</v>
      </c>
      <c r="C16" s="2"/>
      <c r="D16" s="2">
        <v>3.2</v>
      </c>
      <c r="E16" s="2"/>
      <c r="F16" s="2"/>
      <c r="G16" s="2"/>
      <c r="H16" s="2"/>
      <c r="I16" s="2"/>
      <c r="J16" s="2" t="s">
        <v>27</v>
      </c>
      <c r="K16" s="2" t="s">
        <v>28</v>
      </c>
      <c r="L16" s="2" t="s">
        <v>35</v>
      </c>
      <c r="M16" s="2" t="s">
        <v>36</v>
      </c>
    </row>
    <row r="17" spans="1:13" ht="30" customHeight="1" x14ac:dyDescent="0.2">
      <c r="A17" s="2" t="s">
        <v>37</v>
      </c>
      <c r="B17" s="2">
        <v>120</v>
      </c>
      <c r="C17" s="2" t="s">
        <v>38</v>
      </c>
      <c r="D17" s="2"/>
      <c r="E17" s="2">
        <v>6.4</v>
      </c>
      <c r="F17" s="2">
        <v>4.0999999999999996</v>
      </c>
      <c r="G17" s="2"/>
      <c r="H17" s="2">
        <v>0</v>
      </c>
      <c r="I17" s="2"/>
      <c r="J17" s="2"/>
      <c r="K17" s="2"/>
      <c r="L17" s="2" t="s">
        <v>39</v>
      </c>
      <c r="M17" s="2"/>
    </row>
    <row r="18" spans="1:13" ht="30" customHeight="1" x14ac:dyDescent="0.2">
      <c r="A18" s="2" t="s">
        <v>40</v>
      </c>
      <c r="B18" s="2">
        <v>120</v>
      </c>
      <c r="C18" s="2" t="s">
        <v>38</v>
      </c>
      <c r="D18" s="2"/>
      <c r="E18" s="2">
        <v>6.4</v>
      </c>
      <c r="F18" s="2">
        <v>4.0999999999999996</v>
      </c>
      <c r="G18" s="2"/>
      <c r="H18" s="2">
        <v>0</v>
      </c>
      <c r="I18" s="2"/>
      <c r="J18" s="2" t="s">
        <v>41</v>
      </c>
      <c r="K18" s="2" t="s">
        <v>42</v>
      </c>
      <c r="L18" s="2"/>
      <c r="M18" s="2"/>
    </row>
    <row r="19" spans="1:13" ht="30" customHeight="1" x14ac:dyDescent="0.2">
      <c r="A19" s="2" t="s">
        <v>43</v>
      </c>
      <c r="B19" s="2">
        <v>50</v>
      </c>
      <c r="C19" s="2" t="s">
        <v>44</v>
      </c>
      <c r="D19" s="2"/>
      <c r="E19" s="2">
        <v>8.5</v>
      </c>
      <c r="F19" s="2">
        <v>5</v>
      </c>
      <c r="G19" s="2"/>
      <c r="H19" s="2">
        <v>0</v>
      </c>
      <c r="I19" s="2"/>
      <c r="J19" s="2"/>
      <c r="K19" s="2"/>
      <c r="L19" s="2" t="s">
        <v>45</v>
      </c>
      <c r="M19" s="2"/>
    </row>
    <row r="20" spans="1:13" ht="30" customHeight="1" x14ac:dyDescent="0.2">
      <c r="A20" s="2" t="s">
        <v>46</v>
      </c>
      <c r="B20" s="2">
        <v>60</v>
      </c>
      <c r="C20" s="2" t="s">
        <v>47</v>
      </c>
      <c r="D20" s="2">
        <v>2.75</v>
      </c>
      <c r="E20" s="2"/>
      <c r="F20" s="2"/>
      <c r="G20" s="2"/>
      <c r="H20" s="2"/>
      <c r="I20" s="2"/>
      <c r="J20" s="2"/>
      <c r="K20" s="2"/>
      <c r="L20" s="2" t="s">
        <v>48</v>
      </c>
      <c r="M20" s="2"/>
    </row>
    <row r="21" spans="1:13" ht="30" customHeight="1" x14ac:dyDescent="0.2">
      <c r="A21" s="2" t="s">
        <v>49</v>
      </c>
      <c r="B21" s="2">
        <v>1000</v>
      </c>
      <c r="C21" s="2" t="s">
        <v>50</v>
      </c>
      <c r="D21" s="2">
        <v>3</v>
      </c>
      <c r="E21" s="2"/>
      <c r="F21" s="2"/>
      <c r="G21" s="2">
        <v>2500</v>
      </c>
      <c r="H21" s="2">
        <v>4.0000000000000002E-4</v>
      </c>
      <c r="I21" s="2">
        <v>4.0000000000000001E-3</v>
      </c>
      <c r="J21" s="2"/>
      <c r="K21" s="2"/>
      <c r="L21" s="2" t="s">
        <v>51</v>
      </c>
      <c r="M21" s="2"/>
    </row>
    <row r="22" spans="1:13" ht="30" customHeight="1" x14ac:dyDescent="0.2">
      <c r="A22" s="2" t="s">
        <v>52</v>
      </c>
      <c r="B22" s="2">
        <v>48</v>
      </c>
      <c r="C22" s="2" t="s">
        <v>53</v>
      </c>
      <c r="D22" s="2" t="s">
        <v>54</v>
      </c>
      <c r="E22" s="2"/>
      <c r="F22" s="2"/>
      <c r="G22" s="2"/>
      <c r="H22" s="2"/>
      <c r="I22" s="2"/>
      <c r="J22" s="2"/>
      <c r="K22" s="2"/>
      <c r="L22" s="2"/>
      <c r="M22" s="2"/>
    </row>
    <row r="23" spans="1:13" ht="30" customHeight="1" x14ac:dyDescent="0.2">
      <c r="A23" s="2" t="s">
        <v>55</v>
      </c>
      <c r="B23" s="2">
        <v>48</v>
      </c>
      <c r="C23" s="2" t="s">
        <v>53</v>
      </c>
      <c r="D23" s="2" t="s">
        <v>54</v>
      </c>
      <c r="E23" s="2"/>
      <c r="F23" s="2"/>
      <c r="G23" s="2"/>
      <c r="H23" s="2"/>
      <c r="I23" s="2"/>
      <c r="J23" s="2"/>
      <c r="K23" s="2"/>
      <c r="L23" s="2" t="s">
        <v>56</v>
      </c>
      <c r="M23" s="2" t="s">
        <v>57</v>
      </c>
    </row>
    <row r="24" spans="1:13" ht="30" customHeight="1" x14ac:dyDescent="0.2">
      <c r="A24" s="2" t="s">
        <v>58</v>
      </c>
      <c r="B24" s="2">
        <v>48</v>
      </c>
      <c r="C24" s="2" t="s">
        <v>53</v>
      </c>
      <c r="D24" s="2" t="s">
        <v>54</v>
      </c>
      <c r="E24" s="2"/>
      <c r="F24" s="2"/>
      <c r="G24" s="2"/>
      <c r="H24" s="2"/>
      <c r="I24" s="2"/>
      <c r="J24" s="2"/>
      <c r="K24" s="2"/>
      <c r="L24" s="2" t="s">
        <v>59</v>
      </c>
      <c r="M24" s="2"/>
    </row>
    <row r="25" spans="1:13" ht="30" customHeight="1" x14ac:dyDescent="0.2">
      <c r="A25" s="2" t="s">
        <v>60</v>
      </c>
      <c r="B25" s="2">
        <v>48</v>
      </c>
      <c r="C25" s="2" t="s">
        <v>53</v>
      </c>
      <c r="D25" s="2" t="s">
        <v>54</v>
      </c>
      <c r="E25" s="2"/>
      <c r="F25" s="2"/>
      <c r="G25" s="2"/>
      <c r="H25" s="2"/>
      <c r="I25" s="2"/>
      <c r="J25" s="2"/>
      <c r="K25" s="2"/>
      <c r="L25" s="2"/>
      <c r="M25" s="2"/>
    </row>
    <row r="26" spans="1:13" ht="30" customHeight="1" x14ac:dyDescent="0.2">
      <c r="A26" s="2" t="s">
        <v>61</v>
      </c>
      <c r="B26" s="2">
        <v>48</v>
      </c>
      <c r="C26" s="2" t="s">
        <v>62</v>
      </c>
      <c r="D26" s="2" t="s">
        <v>54</v>
      </c>
      <c r="E26" s="2"/>
      <c r="F26" s="2"/>
      <c r="G26" s="2" t="s">
        <v>63</v>
      </c>
      <c r="H26" s="2" t="s">
        <v>64</v>
      </c>
      <c r="I26" s="2"/>
      <c r="J26" s="2"/>
      <c r="K26" s="2"/>
      <c r="L26" s="2" t="s">
        <v>59</v>
      </c>
      <c r="M26" s="2"/>
    </row>
    <row r="27" spans="1:13" ht="30" customHeight="1" x14ac:dyDescent="0.2">
      <c r="A27" s="2" t="s">
        <v>65</v>
      </c>
      <c r="B27" s="2">
        <v>48</v>
      </c>
      <c r="C27" s="2" t="s">
        <v>53</v>
      </c>
      <c r="D27" s="2" t="s">
        <v>54</v>
      </c>
      <c r="E27" s="2"/>
      <c r="F27" s="2"/>
      <c r="G27" s="2"/>
      <c r="H27" s="2"/>
      <c r="I27" s="2"/>
      <c r="J27" s="2" t="s">
        <v>66</v>
      </c>
      <c r="K27" s="2" t="s">
        <v>67</v>
      </c>
      <c r="L27" s="2" t="s">
        <v>56</v>
      </c>
      <c r="M27" s="2"/>
    </row>
  </sheetData>
  <autoFilter ref="A1:M27" xr:uid="{00000000-0009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"/>
  <sheetViews>
    <sheetView tabSelected="1" workbookViewId="0">
      <pane ySplit="1" topLeftCell="A2" activePane="bottomLeft" state="frozen"/>
      <selection pane="bottomLeft" sqref="A1:A1048576"/>
    </sheetView>
  </sheetViews>
  <sheetFormatPr defaultRowHeight="14.25" x14ac:dyDescent="0.2"/>
  <cols>
    <col min="1" max="1" width="31" customWidth="1"/>
    <col min="2" max="2" width="55" hidden="1" customWidth="1"/>
    <col min="3" max="3" width="55" customWidth="1"/>
    <col min="4" max="4" width="17.75" customWidth="1"/>
    <col min="5" max="5" width="13.625" customWidth="1"/>
    <col min="6" max="6" width="16.125" hidden="1" customWidth="1"/>
    <col min="7" max="7" width="14" hidden="1" customWidth="1"/>
    <col min="8" max="8" width="22" hidden="1" customWidth="1"/>
    <col min="9" max="10" width="11" customWidth="1"/>
    <col min="11" max="11" width="11.625" customWidth="1"/>
    <col min="12" max="12" width="34" hidden="1" customWidth="1"/>
    <col min="13" max="13" width="11" hidden="1" customWidth="1"/>
    <col min="14" max="14" width="8.5" hidden="1" customWidth="1"/>
    <col min="15" max="16" width="11" customWidth="1"/>
    <col min="17" max="17" width="11.875" customWidth="1"/>
    <col min="18" max="18" width="9.875" customWidth="1"/>
    <col min="19" max="19" width="20" customWidth="1"/>
  </cols>
  <sheetData>
    <row r="1" spans="1:19" ht="24" customHeight="1" x14ac:dyDescent="0.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</row>
    <row r="2" spans="1:19" ht="30" customHeight="1" x14ac:dyDescent="0.2">
      <c r="A2" s="2" t="s">
        <v>23</v>
      </c>
      <c r="B2" s="2" t="s">
        <v>87</v>
      </c>
      <c r="C2" s="2" t="s">
        <v>88</v>
      </c>
      <c r="D2" s="2"/>
      <c r="E2" s="2">
        <v>36</v>
      </c>
      <c r="F2" s="2">
        <v>36.559205185405283</v>
      </c>
      <c r="G2" s="2" t="s">
        <v>89</v>
      </c>
      <c r="H2" s="2">
        <v>3</v>
      </c>
      <c r="I2" s="2"/>
      <c r="J2" s="2"/>
      <c r="K2" s="2"/>
      <c r="L2" s="2"/>
      <c r="M2" s="2"/>
      <c r="N2" s="2">
        <v>0.45</v>
      </c>
      <c r="O2" s="2"/>
      <c r="P2" s="2"/>
      <c r="Q2" s="2"/>
      <c r="R2" s="2"/>
      <c r="S2" s="2"/>
    </row>
    <row r="3" spans="1:19" ht="30" customHeight="1" x14ac:dyDescent="0.2">
      <c r="A3" s="2" t="s">
        <v>26</v>
      </c>
      <c r="B3" s="2" t="s">
        <v>90</v>
      </c>
      <c r="C3" s="2" t="s">
        <v>91</v>
      </c>
      <c r="D3" s="2"/>
      <c r="E3" s="2">
        <v>72.048019999999951</v>
      </c>
      <c r="F3" s="2">
        <v>72.048019999999951</v>
      </c>
      <c r="G3" s="2" t="s">
        <v>89</v>
      </c>
      <c r="H3" s="2"/>
      <c r="I3" s="2"/>
      <c r="J3" s="2"/>
      <c r="K3" s="2"/>
      <c r="L3" s="2"/>
      <c r="M3" s="2"/>
      <c r="N3" s="2"/>
      <c r="O3" s="2">
        <v>167430</v>
      </c>
      <c r="P3" s="2">
        <v>167422</v>
      </c>
      <c r="Q3" s="2" t="s">
        <v>92</v>
      </c>
      <c r="R3" s="2"/>
      <c r="S3" s="2" t="s">
        <v>30</v>
      </c>
    </row>
    <row r="4" spans="1:19" ht="30" customHeight="1" x14ac:dyDescent="0.2">
      <c r="A4" s="2" t="s">
        <v>31</v>
      </c>
      <c r="B4" s="2" t="s">
        <v>93</v>
      </c>
      <c r="C4" s="2" t="s">
        <v>94</v>
      </c>
      <c r="D4" s="2"/>
      <c r="E4" s="2">
        <v>64</v>
      </c>
      <c r="F4" s="2">
        <v>64.013840000000002</v>
      </c>
      <c r="G4" s="2" t="s">
        <v>95</v>
      </c>
      <c r="H4" s="2">
        <v>3.2</v>
      </c>
      <c r="I4" s="2"/>
      <c r="J4" s="2"/>
      <c r="K4" s="2"/>
      <c r="L4" s="2"/>
      <c r="M4" s="2"/>
      <c r="N4" s="2"/>
      <c r="O4" s="2">
        <v>25760</v>
      </c>
      <c r="P4" s="2">
        <v>25760</v>
      </c>
      <c r="Q4" s="2" t="s">
        <v>92</v>
      </c>
      <c r="R4" s="2" t="s">
        <v>96</v>
      </c>
      <c r="S4" s="2" t="s">
        <v>33</v>
      </c>
    </row>
    <row r="5" spans="1:19" ht="30" customHeight="1" x14ac:dyDescent="0.2">
      <c r="A5" s="2" t="s">
        <v>34</v>
      </c>
      <c r="B5" s="2" t="s">
        <v>97</v>
      </c>
      <c r="C5" s="2" t="s">
        <v>98</v>
      </c>
      <c r="D5" s="2"/>
      <c r="E5" s="2">
        <v>64</v>
      </c>
      <c r="F5" s="2">
        <v>64.018439999999998</v>
      </c>
      <c r="G5" s="2" t="s">
        <v>95</v>
      </c>
      <c r="H5" s="2">
        <v>3.2</v>
      </c>
      <c r="I5" s="2"/>
      <c r="J5" s="2"/>
      <c r="K5" s="2"/>
      <c r="L5" s="2"/>
      <c r="M5" s="2"/>
      <c r="N5" s="2"/>
      <c r="O5" s="2">
        <v>25409</v>
      </c>
      <c r="P5" s="2">
        <v>51582</v>
      </c>
      <c r="Q5" s="2" t="s">
        <v>92</v>
      </c>
      <c r="R5" s="2" t="s">
        <v>99</v>
      </c>
      <c r="S5" s="2" t="s">
        <v>36</v>
      </c>
    </row>
    <row r="6" spans="1:19" ht="30" customHeight="1" x14ac:dyDescent="0.2">
      <c r="A6" s="2" t="s">
        <v>37</v>
      </c>
      <c r="B6" s="2" t="s">
        <v>100</v>
      </c>
      <c r="C6" s="2" t="s">
        <v>101</v>
      </c>
      <c r="D6" s="2" t="s">
        <v>38</v>
      </c>
      <c r="E6" s="2">
        <v>120</v>
      </c>
      <c r="F6" s="2">
        <v>120.01737</v>
      </c>
      <c r="G6" s="2" t="s">
        <v>95</v>
      </c>
      <c r="H6" s="2"/>
      <c r="I6" s="2">
        <v>6.4</v>
      </c>
      <c r="J6" s="2">
        <v>4.0999999999999996</v>
      </c>
      <c r="K6" s="2"/>
      <c r="L6" s="2">
        <v>0</v>
      </c>
      <c r="M6" s="2"/>
      <c r="N6" s="2"/>
      <c r="O6" s="2">
        <v>34364</v>
      </c>
      <c r="P6" s="2">
        <v>34504</v>
      </c>
      <c r="Q6" s="2"/>
      <c r="R6" s="2"/>
      <c r="S6" s="2"/>
    </row>
    <row r="7" spans="1:19" ht="30" customHeight="1" x14ac:dyDescent="0.2">
      <c r="A7" s="2" t="s">
        <v>40</v>
      </c>
      <c r="B7" s="2" t="s">
        <v>102</v>
      </c>
      <c r="C7" s="2" t="s">
        <v>103</v>
      </c>
      <c r="D7" s="2" t="s">
        <v>38</v>
      </c>
      <c r="E7" s="2">
        <v>120</v>
      </c>
      <c r="F7" s="2">
        <v>127.27655</v>
      </c>
      <c r="G7" s="2" t="s">
        <v>95</v>
      </c>
      <c r="H7" s="2"/>
      <c r="I7" s="2">
        <v>6.4</v>
      </c>
      <c r="J7" s="2">
        <v>4.0999999999999996</v>
      </c>
      <c r="K7" s="2"/>
      <c r="L7" s="2">
        <v>0</v>
      </c>
      <c r="M7" s="2"/>
      <c r="N7" s="2"/>
      <c r="O7" s="2">
        <v>34364</v>
      </c>
      <c r="P7" s="2">
        <v>34484</v>
      </c>
      <c r="Q7" s="2"/>
      <c r="R7" s="2"/>
      <c r="S7" s="2"/>
    </row>
    <row r="8" spans="1:19" ht="30" customHeight="1" x14ac:dyDescent="0.2">
      <c r="A8" s="2" t="s">
        <v>43</v>
      </c>
      <c r="B8" s="2" t="s">
        <v>104</v>
      </c>
      <c r="C8" s="2"/>
      <c r="D8" s="2" t="s">
        <v>44</v>
      </c>
      <c r="E8" s="2">
        <v>50</v>
      </c>
      <c r="F8" s="2">
        <v>50.094999999999999</v>
      </c>
      <c r="G8" s="2" t="s">
        <v>89</v>
      </c>
      <c r="H8" s="2"/>
      <c r="I8" s="2">
        <v>8.5</v>
      </c>
      <c r="J8" s="2">
        <v>5</v>
      </c>
      <c r="K8" s="2"/>
      <c r="L8" s="2">
        <v>0</v>
      </c>
      <c r="M8" s="2"/>
      <c r="N8" s="2"/>
      <c r="O8" s="2"/>
      <c r="P8" s="2"/>
      <c r="Q8" s="2"/>
      <c r="R8" s="2"/>
      <c r="S8" s="2"/>
    </row>
    <row r="9" spans="1:19" ht="30" customHeight="1" x14ac:dyDescent="0.2">
      <c r="A9" s="2" t="s">
        <v>46</v>
      </c>
      <c r="B9" s="2" t="s">
        <v>105</v>
      </c>
      <c r="C9" s="2"/>
      <c r="D9" s="2" t="s">
        <v>47</v>
      </c>
      <c r="E9" s="2">
        <v>60</v>
      </c>
      <c r="F9" s="2">
        <v>60.259</v>
      </c>
      <c r="G9" s="2" t="s">
        <v>89</v>
      </c>
      <c r="H9" s="2">
        <v>2.75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30" customHeight="1" x14ac:dyDescent="0.2">
      <c r="A10" s="2" t="s">
        <v>49</v>
      </c>
      <c r="B10" s="2" t="s">
        <v>106</v>
      </c>
      <c r="C10" s="2" t="s">
        <v>107</v>
      </c>
      <c r="D10" s="2" t="s">
        <v>50</v>
      </c>
      <c r="E10" s="2">
        <v>1000</v>
      </c>
      <c r="F10" s="2">
        <v>974.9100185210151</v>
      </c>
      <c r="G10" s="2" t="s">
        <v>89</v>
      </c>
      <c r="H10" s="2">
        <v>3</v>
      </c>
      <c r="I10" s="2"/>
      <c r="J10" s="2"/>
      <c r="K10" s="2">
        <v>2500</v>
      </c>
      <c r="L10" s="2">
        <v>4.0000000000000002E-4</v>
      </c>
      <c r="M10" s="2">
        <v>4.0000000000000001E-3</v>
      </c>
      <c r="N10" s="2">
        <v>0.6</v>
      </c>
      <c r="O10" s="2">
        <v>150570</v>
      </c>
      <c r="P10" s="2">
        <v>150740</v>
      </c>
      <c r="Q10" s="2"/>
      <c r="R10" s="2"/>
      <c r="S10" s="2"/>
    </row>
    <row r="11" spans="1:19" ht="30" customHeight="1" x14ac:dyDescent="0.2">
      <c r="A11" s="2" t="s">
        <v>52</v>
      </c>
      <c r="B11" s="2" t="s">
        <v>108</v>
      </c>
      <c r="C11" s="2" t="s">
        <v>109</v>
      </c>
      <c r="D11" s="2" t="s">
        <v>53</v>
      </c>
      <c r="E11" s="2">
        <v>48</v>
      </c>
      <c r="F11" s="2">
        <v>48</v>
      </c>
      <c r="G11" s="2" t="s">
        <v>89</v>
      </c>
      <c r="H11" s="2" t="s">
        <v>54</v>
      </c>
      <c r="I11" s="2"/>
      <c r="J11" s="2"/>
      <c r="K11" s="2"/>
      <c r="L11" s="2"/>
      <c r="M11" s="2"/>
      <c r="N11" s="2"/>
      <c r="O11" s="2">
        <v>7008</v>
      </c>
      <c r="P11" s="2">
        <v>7008</v>
      </c>
      <c r="Q11" s="2" t="s">
        <v>110</v>
      </c>
      <c r="R11" s="2"/>
      <c r="S11" s="2"/>
    </row>
    <row r="12" spans="1:19" ht="30" customHeight="1" x14ac:dyDescent="0.2">
      <c r="A12" s="2" t="s">
        <v>55</v>
      </c>
      <c r="B12" s="2" t="s">
        <v>111</v>
      </c>
      <c r="C12" s="2" t="s">
        <v>112</v>
      </c>
      <c r="D12" s="2" t="s">
        <v>53</v>
      </c>
      <c r="E12" s="2">
        <v>48</v>
      </c>
      <c r="F12" s="2">
        <v>48</v>
      </c>
      <c r="G12" s="2" t="s">
        <v>89</v>
      </c>
      <c r="H12" s="2" t="s">
        <v>54</v>
      </c>
      <c r="I12" s="2"/>
      <c r="J12" s="2"/>
      <c r="K12" s="2"/>
      <c r="L12" s="2"/>
      <c r="M12" s="2"/>
      <c r="N12" s="2"/>
      <c r="O12" s="2">
        <v>7008</v>
      </c>
      <c r="P12" s="2">
        <v>7008</v>
      </c>
      <c r="Q12" s="2" t="s">
        <v>92</v>
      </c>
      <c r="R12" s="2"/>
      <c r="S12" s="2" t="s">
        <v>57</v>
      </c>
    </row>
    <row r="13" spans="1:19" ht="30" customHeight="1" x14ac:dyDescent="0.2">
      <c r="A13" s="2" t="s">
        <v>58</v>
      </c>
      <c r="B13" s="2" t="s">
        <v>113</v>
      </c>
      <c r="C13" s="2" t="s">
        <v>114</v>
      </c>
      <c r="D13" s="2" t="s">
        <v>53</v>
      </c>
      <c r="E13" s="2">
        <v>48</v>
      </c>
      <c r="F13" s="2">
        <v>48</v>
      </c>
      <c r="G13" s="2" t="s">
        <v>89</v>
      </c>
      <c r="H13" s="2" t="s">
        <v>54</v>
      </c>
      <c r="I13" s="2"/>
      <c r="J13" s="2"/>
      <c r="K13" s="2"/>
      <c r="L13" s="2"/>
      <c r="M13" s="2"/>
      <c r="N13" s="2"/>
      <c r="O13" s="2">
        <v>7008</v>
      </c>
      <c r="P13" s="2">
        <v>8068</v>
      </c>
      <c r="Q13" s="2"/>
      <c r="R13" s="2"/>
      <c r="S13" s="2"/>
    </row>
    <row r="14" spans="1:19" ht="30" customHeight="1" x14ac:dyDescent="0.2">
      <c r="A14" s="2" t="s">
        <v>60</v>
      </c>
      <c r="B14" s="2" t="s">
        <v>115</v>
      </c>
      <c r="C14" s="2" t="s">
        <v>116</v>
      </c>
      <c r="D14" s="2" t="s">
        <v>53</v>
      </c>
      <c r="E14" s="2">
        <v>48</v>
      </c>
      <c r="F14" s="2">
        <v>48</v>
      </c>
      <c r="G14" s="2" t="s">
        <v>89</v>
      </c>
      <c r="H14" s="2" t="s">
        <v>54</v>
      </c>
      <c r="I14" s="2"/>
      <c r="J14" s="2"/>
      <c r="K14" s="2"/>
      <c r="L14" s="2"/>
      <c r="M14" s="2"/>
      <c r="N14" s="2"/>
      <c r="O14" s="2">
        <v>7008</v>
      </c>
      <c r="P14" s="2">
        <v>8088</v>
      </c>
      <c r="Q14" s="2"/>
      <c r="R14" s="2"/>
      <c r="S14" s="2"/>
    </row>
    <row r="15" spans="1:19" ht="30" customHeight="1" x14ac:dyDescent="0.2">
      <c r="A15" s="2" t="s">
        <v>61</v>
      </c>
      <c r="B15" s="2" t="s">
        <v>117</v>
      </c>
      <c r="C15" s="2" t="s">
        <v>118</v>
      </c>
      <c r="D15" s="2" t="s">
        <v>62</v>
      </c>
      <c r="E15" s="2">
        <v>48</v>
      </c>
      <c r="F15" s="2">
        <v>48</v>
      </c>
      <c r="G15" s="2" t="s">
        <v>89</v>
      </c>
      <c r="H15" s="2" t="s">
        <v>54</v>
      </c>
      <c r="I15" s="2"/>
      <c r="J15" s="2"/>
      <c r="K15" s="2" t="s">
        <v>63</v>
      </c>
      <c r="L15" s="2" t="s">
        <v>64</v>
      </c>
      <c r="M15" s="2"/>
      <c r="N15" s="2"/>
      <c r="O15" s="2">
        <v>7008</v>
      </c>
      <c r="P15" s="2">
        <v>7008</v>
      </c>
      <c r="Q15" s="2"/>
      <c r="R15" s="2"/>
      <c r="S15" s="2"/>
    </row>
    <row r="16" spans="1:19" ht="30" customHeight="1" x14ac:dyDescent="0.2">
      <c r="A16" s="2" t="s">
        <v>65</v>
      </c>
      <c r="B16" s="2" t="s">
        <v>119</v>
      </c>
      <c r="C16" s="2" t="s">
        <v>120</v>
      </c>
      <c r="D16" s="2" t="s">
        <v>53</v>
      </c>
      <c r="E16" s="2">
        <v>48</v>
      </c>
      <c r="F16" s="2">
        <v>48</v>
      </c>
      <c r="G16" s="2" t="s">
        <v>89</v>
      </c>
      <c r="H16" s="2" t="s">
        <v>54</v>
      </c>
      <c r="I16" s="2"/>
      <c r="J16" s="2"/>
      <c r="K16" s="2"/>
      <c r="L16" s="2"/>
      <c r="M16" s="2"/>
      <c r="N16" s="2"/>
      <c r="O16" s="2">
        <v>6441</v>
      </c>
      <c r="P16" s="2">
        <v>6441</v>
      </c>
      <c r="Q16" s="2"/>
      <c r="R16" s="2"/>
      <c r="S16" s="2"/>
    </row>
  </sheetData>
  <autoFilter ref="A1:S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topLeftCell="C1" workbookViewId="0">
      <pane ySplit="1" topLeftCell="A2" activePane="bottomLeft" state="frozen"/>
      <selection pane="bottomLeft" activeCell="C6" sqref="A6:XFD6"/>
    </sheetView>
  </sheetViews>
  <sheetFormatPr defaultRowHeight="14.25" x14ac:dyDescent="0.2"/>
  <cols>
    <col min="1" max="1" width="31" customWidth="1"/>
    <col min="2" max="3" width="55" customWidth="1"/>
    <col min="4" max="5" width="21" customWidth="1"/>
    <col min="6" max="7" width="22" customWidth="1"/>
    <col min="8" max="8" width="55" customWidth="1"/>
    <col min="9" max="9" width="20" customWidth="1"/>
    <col min="10" max="10" width="55" customWidth="1"/>
  </cols>
  <sheetData>
    <row r="1" spans="1:10" ht="24" customHeight="1" x14ac:dyDescent="0.2">
      <c r="A1" s="1" t="s">
        <v>68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86</v>
      </c>
      <c r="J1" s="1" t="s">
        <v>69</v>
      </c>
    </row>
    <row r="2" spans="1:10" ht="30" customHeight="1" x14ac:dyDescent="0.2">
      <c r="A2" s="2" t="s">
        <v>23</v>
      </c>
      <c r="B2" s="2" t="s">
        <v>24</v>
      </c>
      <c r="C2" s="2" t="s">
        <v>25</v>
      </c>
      <c r="D2" s="2">
        <v>225</v>
      </c>
      <c r="E2" s="2">
        <v>180</v>
      </c>
      <c r="F2" s="2">
        <v>72</v>
      </c>
      <c r="G2" s="2">
        <v>720</v>
      </c>
      <c r="H2" s="2"/>
      <c r="I2" s="2"/>
      <c r="J2" s="2" t="s">
        <v>87</v>
      </c>
    </row>
    <row r="3" spans="1:10" ht="30" customHeight="1" x14ac:dyDescent="0.2">
      <c r="A3" s="2" t="s">
        <v>26</v>
      </c>
      <c r="B3" s="2" t="s">
        <v>27</v>
      </c>
      <c r="C3" s="2" t="s">
        <v>28</v>
      </c>
      <c r="D3" s="2"/>
      <c r="E3" s="2"/>
      <c r="F3" s="2"/>
      <c r="G3" s="2"/>
      <c r="H3" s="2" t="s">
        <v>29</v>
      </c>
      <c r="I3" s="2" t="s">
        <v>30</v>
      </c>
      <c r="J3" s="2" t="s">
        <v>90</v>
      </c>
    </row>
    <row r="4" spans="1:10" ht="30" customHeight="1" x14ac:dyDescent="0.2">
      <c r="A4" s="2" t="s">
        <v>31</v>
      </c>
      <c r="B4" s="2"/>
      <c r="C4" s="2"/>
      <c r="D4" s="2"/>
      <c r="E4" s="2"/>
      <c r="F4" s="2"/>
      <c r="G4" s="2"/>
      <c r="H4" s="2" t="s">
        <v>32</v>
      </c>
      <c r="I4" s="2" t="s">
        <v>33</v>
      </c>
      <c r="J4" s="2" t="s">
        <v>93</v>
      </c>
    </row>
    <row r="5" spans="1:10" ht="30" customHeight="1" x14ac:dyDescent="0.2">
      <c r="A5" s="2" t="s">
        <v>34</v>
      </c>
      <c r="B5" s="2" t="s">
        <v>27</v>
      </c>
      <c r="C5" s="2" t="s">
        <v>28</v>
      </c>
      <c r="D5" s="2">
        <v>900</v>
      </c>
      <c r="E5" s="2">
        <v>520</v>
      </c>
      <c r="F5" s="2">
        <v>420</v>
      </c>
      <c r="G5" s="2"/>
      <c r="H5" s="2" t="s">
        <v>35</v>
      </c>
      <c r="I5" s="2" t="s">
        <v>36</v>
      </c>
      <c r="J5" s="2" t="s">
        <v>97</v>
      </c>
    </row>
    <row r="6" spans="1:10" ht="30" customHeight="1" x14ac:dyDescent="0.2">
      <c r="A6" s="2" t="s">
        <v>37</v>
      </c>
      <c r="B6" s="2"/>
      <c r="C6" s="2"/>
      <c r="D6" s="2"/>
      <c r="E6" s="2"/>
      <c r="F6" s="2"/>
      <c r="G6" s="2"/>
      <c r="H6" s="2" t="s">
        <v>39</v>
      </c>
      <c r="I6" s="2"/>
      <c r="J6" s="2" t="s">
        <v>100</v>
      </c>
    </row>
    <row r="7" spans="1:10" ht="30" customHeight="1" x14ac:dyDescent="0.2">
      <c r="A7" s="2" t="s">
        <v>40</v>
      </c>
      <c r="B7" s="2" t="s">
        <v>41</v>
      </c>
      <c r="C7" s="2" t="s">
        <v>42</v>
      </c>
      <c r="D7" s="2"/>
      <c r="E7" s="2"/>
      <c r="F7" s="2"/>
      <c r="G7" s="2"/>
      <c r="H7" s="2"/>
      <c r="I7" s="2"/>
      <c r="J7" s="2" t="s">
        <v>102</v>
      </c>
    </row>
    <row r="8" spans="1:10" ht="30" customHeight="1" x14ac:dyDescent="0.2">
      <c r="A8" s="2" t="s">
        <v>43</v>
      </c>
      <c r="B8" s="2"/>
      <c r="C8" s="2"/>
      <c r="D8" s="2"/>
      <c r="E8" s="2"/>
      <c r="F8" s="2"/>
      <c r="G8" s="2"/>
      <c r="H8" s="2" t="s">
        <v>45</v>
      </c>
      <c r="I8" s="2"/>
      <c r="J8" s="2" t="s">
        <v>104</v>
      </c>
    </row>
    <row r="9" spans="1:10" ht="30" customHeight="1" x14ac:dyDescent="0.2">
      <c r="A9" s="2" t="s">
        <v>46</v>
      </c>
      <c r="B9" s="2"/>
      <c r="C9" s="2"/>
      <c r="D9" s="2"/>
      <c r="E9" s="2"/>
      <c r="F9" s="2"/>
      <c r="G9" s="2"/>
      <c r="H9" s="2" t="s">
        <v>48</v>
      </c>
      <c r="I9" s="2"/>
      <c r="J9" s="2" t="s">
        <v>105</v>
      </c>
    </row>
    <row r="10" spans="1:10" ht="30" customHeight="1" x14ac:dyDescent="0.2">
      <c r="A10" s="2" t="s">
        <v>49</v>
      </c>
      <c r="B10" s="2"/>
      <c r="C10" s="2"/>
      <c r="D10" s="2">
        <v>30</v>
      </c>
      <c r="E10" s="2">
        <v>140</v>
      </c>
      <c r="F10" s="2"/>
      <c r="G10" s="2"/>
      <c r="H10" s="2" t="s">
        <v>51</v>
      </c>
      <c r="I10" s="2"/>
      <c r="J10" s="2" t="s">
        <v>106</v>
      </c>
    </row>
    <row r="11" spans="1:10" ht="30" customHeight="1" x14ac:dyDescent="0.2">
      <c r="A11" s="2" t="s">
        <v>52</v>
      </c>
      <c r="B11" s="2"/>
      <c r="C11" s="2"/>
      <c r="D11" s="2"/>
      <c r="E11" s="2"/>
      <c r="F11" s="2"/>
      <c r="G11" s="2"/>
      <c r="H11" s="2"/>
      <c r="I11" s="2"/>
      <c r="J11" s="2" t="s">
        <v>108</v>
      </c>
    </row>
    <row r="12" spans="1:10" ht="30" customHeight="1" x14ac:dyDescent="0.2">
      <c r="A12" s="2" t="s">
        <v>55</v>
      </c>
      <c r="B12" s="2"/>
      <c r="C12" s="2"/>
      <c r="D12" s="2"/>
      <c r="E12" s="2"/>
      <c r="F12" s="2"/>
      <c r="G12" s="2"/>
      <c r="H12" s="2" t="s">
        <v>56</v>
      </c>
      <c r="I12" s="2" t="s">
        <v>57</v>
      </c>
      <c r="J12" s="2" t="s">
        <v>111</v>
      </c>
    </row>
    <row r="13" spans="1:10" ht="30" customHeight="1" x14ac:dyDescent="0.2">
      <c r="A13" s="2" t="s">
        <v>58</v>
      </c>
      <c r="B13" s="2"/>
      <c r="C13" s="2"/>
      <c r="D13" s="2">
        <v>900</v>
      </c>
      <c r="E13" s="2">
        <v>160</v>
      </c>
      <c r="F13" s="2"/>
      <c r="G13" s="2"/>
      <c r="H13" s="2" t="s">
        <v>59</v>
      </c>
      <c r="I13" s="2"/>
      <c r="J13" s="2" t="s">
        <v>113</v>
      </c>
    </row>
    <row r="14" spans="1:10" ht="30" customHeight="1" x14ac:dyDescent="0.2">
      <c r="A14" s="2" t="s">
        <v>60</v>
      </c>
      <c r="B14" s="2"/>
      <c r="C14" s="2"/>
      <c r="D14" s="2"/>
      <c r="E14" s="2"/>
      <c r="F14" s="2">
        <v>1080</v>
      </c>
      <c r="G14" s="2"/>
      <c r="H14" s="2"/>
      <c r="I14" s="2"/>
      <c r="J14" s="2" t="s">
        <v>115</v>
      </c>
    </row>
    <row r="15" spans="1:10" ht="30" customHeight="1" x14ac:dyDescent="0.2">
      <c r="A15" s="2" t="s">
        <v>61</v>
      </c>
      <c r="B15" s="2"/>
      <c r="C15" s="2"/>
      <c r="D15" s="2"/>
      <c r="E15" s="2"/>
      <c r="F15" s="2"/>
      <c r="G15" s="2"/>
      <c r="H15" s="2" t="s">
        <v>59</v>
      </c>
      <c r="I15" s="2"/>
      <c r="J15" s="2" t="s">
        <v>117</v>
      </c>
    </row>
    <row r="16" spans="1:10" ht="30" customHeight="1" x14ac:dyDescent="0.2">
      <c r="A16" s="2" t="s">
        <v>65</v>
      </c>
      <c r="B16" s="2" t="s">
        <v>66</v>
      </c>
      <c r="C16" s="2" t="s">
        <v>67</v>
      </c>
      <c r="D16" s="2"/>
      <c r="E16" s="2"/>
      <c r="F16" s="2"/>
      <c r="G16" s="2"/>
      <c r="H16" s="2" t="s">
        <v>56</v>
      </c>
      <c r="I16" s="2"/>
      <c r="J16" s="2" t="s">
        <v>119</v>
      </c>
    </row>
  </sheetData>
  <autoFilter ref="A1:J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9" customWidth="1"/>
    <col min="2" max="2" width="55" customWidth="1"/>
  </cols>
  <sheetData>
    <row r="1" spans="1:2" ht="24" customHeight="1" x14ac:dyDescent="0.2">
      <c r="A1" s="1" t="s">
        <v>128</v>
      </c>
      <c r="B1" s="1" t="s">
        <v>129</v>
      </c>
    </row>
    <row r="2" spans="1:2" ht="30" customHeight="1" x14ac:dyDescent="0.2">
      <c r="A2" s="2" t="s">
        <v>11</v>
      </c>
      <c r="B2" s="2" t="s">
        <v>130</v>
      </c>
    </row>
    <row r="3" spans="1:2" ht="30" customHeight="1" x14ac:dyDescent="0.2">
      <c r="A3" s="2" t="s">
        <v>19</v>
      </c>
      <c r="B3" s="2" t="s">
        <v>131</v>
      </c>
    </row>
    <row r="4" spans="1:2" ht="30" customHeight="1" x14ac:dyDescent="0.2">
      <c r="A4" s="2" t="s">
        <v>20</v>
      </c>
      <c r="B4" s="2" t="s">
        <v>132</v>
      </c>
    </row>
    <row r="5" spans="1:2" ht="30" customHeight="1" x14ac:dyDescent="0.2">
      <c r="A5" s="2" t="s">
        <v>21</v>
      </c>
      <c r="B5" s="2" t="s">
        <v>133</v>
      </c>
    </row>
    <row r="6" spans="1:2" ht="30" customHeight="1" x14ac:dyDescent="0.2">
      <c r="A6" s="2" t="s">
        <v>17</v>
      </c>
      <c r="B6" s="2" t="s">
        <v>134</v>
      </c>
    </row>
    <row r="7" spans="1:2" ht="30" customHeight="1" x14ac:dyDescent="0.2">
      <c r="A7" s="2" t="s">
        <v>135</v>
      </c>
      <c r="B7" s="2" t="s">
        <v>136</v>
      </c>
    </row>
  </sheetData>
  <autoFilter ref="A1:B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 quan</vt:lpstr>
      <vt:lpstr>Thong so data</vt:lpstr>
      <vt:lpstr>Loi va nhieu</vt:lpstr>
      <vt:lpstr>Giai thich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Hoang Anh Nguyen</cp:lastModifiedBy>
  <dcterms:created xsi:type="dcterms:W3CDTF">2026-06-10T06:04:43Z</dcterms:created>
  <dcterms:modified xsi:type="dcterms:W3CDTF">2026-06-13T06:17:31Z</dcterms:modified>
</cp:coreProperties>
</file>
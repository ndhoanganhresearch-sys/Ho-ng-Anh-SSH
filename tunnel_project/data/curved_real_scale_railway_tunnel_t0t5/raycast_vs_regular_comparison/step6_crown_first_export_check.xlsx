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-Ser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Crown settlement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'Time-Series'!B3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'Time-Series'!$A$4:$A$8</f>
            </numRef>
          </cat>
          <val>
            <numRef>
              <f>'Time-Series'!$B$4:$B$8</f>
            </numRef>
          </val>
        </ser>
        <ser>
          <idx val="1"/>
          <order val="1"/>
          <tx>
            <strRef>
              <f>'Time-Series'!C3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'Time-Series'!$A$4:$A$8</f>
            </numRef>
          </cat>
          <val>
            <numRef>
              <f>'Time-Series'!$C$4:$C$8</f>
            </numRef>
          </val>
        </ser>
        <ser>
          <idx val="2"/>
          <order val="2"/>
          <tx>
            <strRef>
              <f>'Time-Series'!D3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'Time-Series'!$A$4:$A$8</f>
            </numRef>
          </cat>
          <val>
            <numRef>
              <f>'Time-Series'!$D$4:$D$8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20" customWidth="1" min="4" max="4"/>
    <col width="14" customWidth="1" min="5" max="5"/>
    <col width="16" customWidth="1" min="6" max="6"/>
  </cols>
  <sheetData>
    <row r="1">
      <c r="A1" s="1" t="inlineStr">
        <is>
          <t>Tunnel Analysis - Step 6 Crown Settlement (M3C2)</t>
        </is>
      </c>
    </row>
    <row r="3">
      <c r="A3" s="2" t="inlineStr">
        <is>
          <t>Time</t>
        </is>
      </c>
      <c r="B3" s="2" t="inlineStr">
        <is>
          <t>Crown settlement (mm)</t>
        </is>
      </c>
      <c r="C3" s="2" t="inlineStr">
        <is>
          <t>New crown move (mm)</t>
        </is>
      </c>
      <c r="D3" s="2" t="inlineStr">
        <is>
          <t>Overall movement p95 (mm)</t>
        </is>
      </c>
      <c r="E3" s="2" t="inlineStr">
        <is>
          <t>Result</t>
        </is>
      </c>
      <c r="F3" s="2" t="inlineStr">
        <is>
          <t>Crown zone points</t>
        </is>
      </c>
    </row>
    <row r="4">
      <c r="A4" s="3" t="inlineStr">
        <is>
          <t>T1</t>
        </is>
      </c>
      <c r="B4" s="4" t="n">
        <v>-10.24</v>
      </c>
      <c r="C4" s="3" t="n">
        <v>-10.24</v>
      </c>
      <c r="D4" s="3" t="n">
        <v>6.96</v>
      </c>
      <c r="E4" s="4" t="inlineStr">
        <is>
          <t>Warning</t>
        </is>
      </c>
      <c r="F4" s="3" t="n">
        <v>8379</v>
      </c>
    </row>
    <row r="5">
      <c r="A5" s="3" t="inlineStr">
        <is>
          <t>T2</t>
        </is>
      </c>
      <c r="B5" s="4" t="n">
        <v>-21.63</v>
      </c>
      <c r="C5" s="3" t="n">
        <v>-11.39</v>
      </c>
      <c r="D5" s="3" t="n">
        <v>15.16</v>
      </c>
      <c r="E5" s="4" t="inlineStr">
        <is>
          <t>Warning</t>
        </is>
      </c>
      <c r="F5" s="3" t="n">
        <v>8366</v>
      </c>
    </row>
    <row r="6">
      <c r="A6" s="3" t="inlineStr">
        <is>
          <t>T3</t>
        </is>
      </c>
      <c r="B6" s="5" t="n">
        <v>-37.07</v>
      </c>
      <c r="C6" s="3" t="n">
        <v>-15.44</v>
      </c>
      <c r="D6" s="3" t="n">
        <v>26.32</v>
      </c>
      <c r="E6" s="5" t="inlineStr">
        <is>
          <t>Danger</t>
        </is>
      </c>
      <c r="F6" s="3" t="n">
        <v>8371</v>
      </c>
    </row>
    <row r="7">
      <c r="A7" s="3" t="inlineStr">
        <is>
          <t>T4</t>
        </is>
      </c>
      <c r="B7" s="5" t="n">
        <v>-56.61</v>
      </c>
      <c r="C7" s="3" t="n">
        <v>-19.54</v>
      </c>
      <c r="D7" s="3" t="n">
        <v>40.04</v>
      </c>
      <c r="E7" s="5" t="inlineStr">
        <is>
          <t>Danger</t>
        </is>
      </c>
      <c r="F7" s="3" t="n">
        <v>8393</v>
      </c>
    </row>
    <row r="8">
      <c r="A8" s="3" t="inlineStr">
        <is>
          <t>T5</t>
        </is>
      </c>
      <c r="B8" s="5" t="n">
        <v>-77.90000000000001</v>
      </c>
      <c r="C8" s="3" t="n">
        <v>-21.29</v>
      </c>
      <c r="D8" s="3" t="n">
        <v>55.4</v>
      </c>
      <c r="E8" s="5" t="inlineStr">
        <is>
          <t>Danger</t>
        </is>
      </c>
      <c r="F8" s="3" t="n">
        <v>8373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6" t="inlineStr">
        <is>
          <t>Metric</t>
        </is>
      </c>
      <c r="B1" t="inlineStr">
        <is>
          <t>crown_settlement_mm</t>
        </is>
      </c>
    </row>
    <row r="2">
      <c r="A2" s="6" t="inlineStr">
        <is>
          <t>Times</t>
        </is>
      </c>
      <c r="B2" t="inlineStr">
        <is>
          <t>T1, T2, T3, T4, T5</t>
        </is>
      </c>
    </row>
    <row r="3">
      <c r="A3" s="6" t="inlineStr">
        <is>
          <t>Caution / Danger</t>
        </is>
      </c>
      <c r="B3" t="inlineStr">
        <is>
          <t>10 mm / 25 mm</t>
        </is>
      </c>
    </row>
    <row r="4">
      <c r="A4" s="6" t="inlineStr">
        <is>
          <t>Overall movement p95</t>
        </is>
      </c>
      <c r="B4" t="inlineStr">
        <is>
          <t>Reference only; not used for crown result</t>
        </is>
      </c>
    </row>
    <row r="5">
      <c r="A5" s="6" t="inlineStr">
        <is>
          <t>Forecast metric</t>
        </is>
      </c>
      <c r="B5" t="inlineStr">
        <is>
          <t>crown_settlement_abs_mm</t>
        </is>
      </c>
    </row>
    <row r="6">
      <c r="A6" s="6" t="inlineStr">
        <is>
          <t>Forecast summary</t>
        </is>
      </c>
      <c r="B6" t="inlineStr">
        <is>
          <t xml:space="preserve">Toc do crown_settlement_abs_mm: +23.86 mm/don-vi (R^2=1.00). Da vuot CAUTION (10mm). Da vuot CRITICAL (25mm).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2026-07-04T09:05:07Z</dcterms:created>
  <dcterms:modified xmlns:dcterms="http://purl.org/dc/terms/" xmlns:xsi="http://www.w3.org/2001/XMLSchema-instance" xsi:type="dcterms:W3CDTF">2026-07-04T09:05:07Z</dcterms:modified>
</cp:coreProperties>
</file>